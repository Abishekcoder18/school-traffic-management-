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Epics" sheetId="2" state="visible" r:id="rId4"/>
    <sheet name="Stories" sheetId="3" state="visible" r:id="rId5"/>
    <sheet name="Subtasks" sheetId="4" state="visible" r:id="rId6"/>
    <sheet name="Test checklist" sheetId="5" state="visible" r:id="rId7"/>
    <sheet name="Out of scope" sheetId="6" state="visible" r:id="rId8"/>
    <sheet name="Traceability" sheetId="7" state="visible" r:id="rId9"/>
  </sheets>
  <definedNames>
    <definedName function="false" hidden="true" localSheetId="1" name="_xlnm._FilterDatabase" vbProcedure="false">Epics!$A$1:$I$5</definedName>
    <definedName function="false" hidden="true" localSheetId="5" name="_xlnm._FilterDatabase" vbProcedure="false">'Out of scope'!$A$1:$E$11</definedName>
    <definedName function="false" hidden="true" localSheetId="2" name="_xlnm._FilterDatabase" vbProcedure="false">Stories!$A$1:$I$16</definedName>
    <definedName function="false" hidden="true" localSheetId="3" name="_xlnm._FilterDatabase" vbProcedure="false">Subtasks!$A$1:$D$11</definedName>
    <definedName function="false" hidden="true" localSheetId="4" name="_xlnm._FilterDatabase" vbProcedure="false">'Test checklist'!$A$1:$F$17</definedName>
    <definedName function="false" hidden="true" localSheetId="6" name="_xlnm._FilterDatabase" vbProcedure="false">Traceability!$A$1:$F$7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<sst xmlns="http://schemas.openxmlformats.org/spreadsheetml/2006/main" count="455" uniqueCount="296">
  <si>
    <t xml:space="preserve">GateFlow AI — Jira-ready backlog (FINAL)</t>
  </si>
  <si>
    <t xml:space="preserve">Version / date</t>
  </si>
  <si>
    <t xml:space="preserve">v1.2 FINAL · 25 October 2026 · aligned to PRD v2.2 FINAL and MRD v3.2 FINAL</t>
  </si>
  <si>
    <t xml:space="preserve">Team</t>
  </si>
  <si>
    <t xml:space="preserve">BA: Rathi Sankari S · UI/UX: Sanjay · Developer: Abishek Edwin Raj · QA: Venkatesan</t>
  </si>
  <si>
    <t xml:space="preserve">Kickoff gate</t>
  </si>
  <si>
    <t xml:space="preserve">3–5 epics and 8–15 stories with acceptance criteria that trace to the PRD. This backlog: 4 epics, 15 stories. Future items sit on the “Out of scope” sheet, not as stories.</t>
  </si>
  <si>
    <t xml:space="preserve">IDs</t>
  </si>
  <si>
    <t xml:space="preserve">EP-, ST-, SUB- and TC- are documentation IDs, not Jira issue keys. No sprints or Jira states are invented.</t>
  </si>
  <si>
    <t xml:space="preserve">Status source</t>
  </si>
  <si>
    <t xml:space="preserve">Developer’s Prototype Implementation Handover. “Implemented and tested” = exercised by the reproduced local API run. API evidence is not proof of the browser demo; see TC-14. QA reports testing complete, but individual TC results have not been supplied, so none is marked Pass.</t>
  </si>
  <si>
    <t xml:space="preserve">Data</t>
  </si>
  <si>
    <t xml:space="preserve">All results come from the synthetic Oakridge Academy scenario. None is field-measured.</t>
  </si>
  <si>
    <t xml:space="preserve">Jira import</t>
  </si>
  <si>
    <t xml:space="preserve">Stories: User story → Summary; Acceptance criteria → Description; Epic ID → Epic Link; PRD requirements → custom field.</t>
  </si>
  <si>
    <t xml:space="preserve">Stories by implementation status</t>
  </si>
  <si>
    <t xml:space="preserve">Implemented and tested</t>
  </si>
  <si>
    <t xml:space="preserve">Implemented, testing incomplete</t>
  </si>
  <si>
    <t xml:space="preserve">Pending confirmation</t>
  </si>
  <si>
    <t xml:space="preserve">Total stories</t>
  </si>
  <si>
    <t xml:space="preserve">Tests passed (from Test checklist)</t>
  </si>
  <si>
    <t xml:space="preserve">Tests failed</t>
  </si>
  <si>
    <t xml:space="preserve">Test results not supplied</t>
  </si>
  <si>
    <t xml:space="preserve">Epic ID</t>
  </si>
  <si>
    <t xml:space="preserve">Name</t>
  </si>
  <si>
    <t xml:space="preserve">Business outcome</t>
  </si>
  <si>
    <t xml:space="preserve">Scope</t>
  </si>
  <si>
    <t xml:space="preserve">Priority</t>
  </si>
  <si>
    <t xml:space="preserve">Dependencies</t>
  </si>
  <si>
    <t xml:space="preserve">Definition of done</t>
  </si>
  <si>
    <t xml:space="preserve">PRD requirements</t>
  </si>
  <si>
    <t xml:space="preserve">MRD needs</t>
  </si>
  <si>
    <t xml:space="preserve">EP-01</t>
  </si>
  <si>
    <t xml:space="preserve">Diagnose the bottleneck (Must-Have M1)</t>
  </si>
  <si>
    <t xml:space="preserve">Users see the school and which gate and cohort cause the dismissal bottleneck</t>
  </si>
  <si>
    <t xml:space="preserve">Load synthetic scenario; overview; file-backed map annotations; rule-based diagnosis</t>
  </si>
  <si>
    <t xml:space="preserve">Must</t>
  </si>
  <si>
    <t xml:space="preserve">None</t>
  </si>
  <si>
    <t xml:space="preserve">Overview shows 4 gates, 5 cohorts, 775 students, 540 vehicles; bottleneck named with its rule</t>
  </si>
  <si>
    <t xml:space="preserve">FR-01 – FR-04</t>
  </si>
  <si>
    <t xml:space="preserve">N2, N4</t>
  </si>
  <si>
    <t xml:space="preserve">EP-02</t>
  </si>
  <si>
    <t xml:space="preserve">Plan within school rules (Must-Have M2)</t>
  </si>
  <si>
    <t xml:space="preserve">Users get timing and gate plans that respect fixed rules</t>
  </si>
  <si>
    <t xml:space="preserve">Plain-text constraint parsing; kindergarten in fixedGroups; sibling sync; eligibility and capacity; bounded enumeration; Pareto filter; no-feasible message</t>
  </si>
  <si>
    <t xml:space="preserve">All rule tests pass; counts shown; only non-dominated candidates returned</t>
  </si>
  <si>
    <t xml:space="preserve">FR-05 – FR-10, FR-14</t>
  </si>
  <si>
    <t xml:space="preserve">N1</t>
  </si>
  <si>
    <t xml:space="preserve">EP-03</t>
  </si>
  <si>
    <t xml:space="preserve">Compare and stress-test (Must-Have M3)</t>
  </si>
  <si>
    <t xml:space="preserve">Users compare current and candidate plans fairly, including under stress</t>
  </si>
  <si>
    <t xml:space="preserve">Same-run deterministic comparison; six stress cases; synthetic labels; repeatability</t>
  </si>
  <si>
    <t xml:space="preserve">Same-run values for queue, p95 wait, delay; six cases; labelled synthetic; identical on rerun</t>
  </si>
  <si>
    <t xml:space="preserve">FR-11 – FR-13, NFR-01</t>
  </si>
  <si>
    <t xml:space="preserve">N3, N4</t>
  </si>
  <si>
    <t xml:space="preserve">EP-04</t>
  </si>
  <si>
    <t xml:space="preserve">Demo readiness</t>
  </si>
  <si>
    <t xml:space="preserve">The team shows the working prototype reliably in the 15-minute slot</t>
  </si>
  <si>
    <t xml:space="preserve">Demo login; offline run; README; backup recording</t>
  </si>
  <si>
    <t xml:space="preserve">Required hand-in (not a product Must-Have)</t>
  </si>
  <si>
    <t xml:space="preserve">EP-01 – EP-03</t>
  </si>
  <si>
    <t xml:space="preserve">PRD section 14 checklist fully ticked</t>
  </si>
  <si>
    <t xml:space="preserve">FR-15, NFR-02, NFR-03</t>
  </si>
  <si>
    <t xml:space="preserve">Kickoff hand-ins</t>
  </si>
  <si>
    <t xml:space="preserve">Story ID</t>
  </si>
  <si>
    <t xml:space="preserve">User story</t>
  </si>
  <si>
    <t xml:space="preserve">Implementation status (evidence-based)</t>
  </si>
  <si>
    <t xml:space="preserve">Acceptance criteria (Given / When / Then)</t>
  </si>
  <si>
    <t xml:space="preserve">Demo evidence / validation method</t>
  </si>
  <si>
    <t xml:space="preserve">ST-01</t>
  </si>
  <si>
    <t xml:space="preserve">As a school administrator, I want an overview of the school scenario, so that I know what I am planning for.</t>
  </si>
  <si>
    <t xml:space="preserve">Implemented, testing incomplete (scenario load tested in reproduced run; overview screen and baseline label pending confirmation)</t>
  </si>
  <si>
    <t xml:space="preserve">—</t>
  </si>
  <si>
    <t xml:space="preserve">Given the app is running
When I open Scenario Overview
Then it shows 4 gates, 5 cohorts, 775 students and 540 vehicles with gate annotations
And the 48-vehicle / 16.4-min baseline is labelled as scenario-provided</t>
  </si>
  <si>
    <t xml:space="preserve">FR-01, FR-02, FR-03</t>
  </si>
  <si>
    <t xml:space="preserve">Live demo step 1; QA checklist</t>
  </si>
  <si>
    <t xml:space="preserve">ST-02</t>
  </si>
  <si>
    <t xml:space="preserve">As a gate coordinator, I want to see which gate and cohort cause the bottleneck, so that I know where the problem is.</t>
  </si>
  <si>
    <t xml:space="preserve">Implemented, testing incomplete (test mapping pending)</t>
  </si>
  <si>
    <t xml:space="preserve">Given the scenario is loaded
When I open Bottleneck Diagnosis
Then the bottleneck gate and cohort are named with the rule that flagged them</t>
  </si>
  <si>
    <t xml:space="preserve">FR-04</t>
  </si>
  <si>
    <t xml:space="preserve">Live demo step 2</t>
  </si>
  <si>
    <t xml:space="preserve">ST-03</t>
  </si>
  <si>
    <t xml:space="preserve">As a school administrator, I want to enter scheduling rules in plain words, so that I do not need technical settings.</t>
  </si>
  <si>
    <t xml:space="preserve">Implemented, testing incomplete (rule/regex parser, no LLM)</t>
  </si>
  <si>
    <t xml:space="preserve">Given the Schedule Search screen
When I enter supported constraint text
Then the parsed rules are applied deterministically to the search</t>
  </si>
  <si>
    <t xml:space="preserve">FR-05</t>
  </si>
  <si>
    <t xml:space="preserve">QA test with sample text</t>
  </si>
  <si>
    <t xml:space="preserve">ST-04</t>
  </si>
  <si>
    <t xml:space="preserve">As a school administrator, I want kindergarten kept fixed and siblings released together when I choose, so that families’ routines are protected.</t>
  </si>
  <si>
    <t xml:space="preserve">Implemented, testing incomplete (conditional)</t>
  </si>
  <si>
    <t xml:space="preserve">Given the kindergarten cohort is in fixedGroups and sibling sync is enabled
When the search runs
Then no candidate changes kindergarten timing
And linked cohorts share one release time</t>
  </si>
  <si>
    <t xml:space="preserve">FR-06, FR-07</t>
  </si>
  <si>
    <t xml:space="preserve">Live demo step 3; AC-03, AC-04</t>
  </si>
  <si>
    <t xml:space="preserve">ST-05</t>
  </si>
  <si>
    <t xml:space="preserve">As a gate coordinator, I want cohorts moved only to eligible gates with capacity, so that plans are workable on the ground.</t>
  </si>
  <si>
    <t xml:space="preserve">Implemented and tested (reproduced run)</t>
  </si>
  <si>
    <t xml:space="preserve">Given gate eligibility and capacity in the scenario
When the search runs
Then no candidate uses an ineligible gate
And over-capacity combinations are infeasible</t>
  </si>
  <si>
    <t xml:space="preserve">FR-08, FR-09</t>
  </si>
  <si>
    <t xml:space="preserve">AC-05; reproduced run</t>
  </si>
  <si>
    <t xml:space="preserve">ST-06</t>
  </si>
  <si>
    <t xml:space="preserve">As a school administrator, I want only the best trade-off plans, with search counts, so that I can see what was considered.</t>
  </si>
  <si>
    <t xml:space="preserve">ST-03 – ST-05</t>
  </si>
  <si>
    <t xml:space="preserve">Given the demo scenario and rules
When the search runs
Then evaluated, feasible, infeasible and dominated counts are shown
And every returned candidate is non-dominated
(Reproduced: 2,662 / 1,331 / 1,331 / 1,330; 1 candidate)</t>
  </si>
  <si>
    <t xml:space="preserve">FR-09, FR-10</t>
  </si>
  <si>
    <t xml:space="preserve">AC-06; live demo step 3</t>
  </si>
  <si>
    <t xml:space="preserve">ST-07</t>
  </si>
  <si>
    <t xml:space="preserve">As a school administrator, I want to be told when no plan satisfies my rules, so that I know which rule to relax.</t>
  </si>
  <si>
    <t xml:space="preserve">Given rules no combination satisfies
When the search runs
Then the screen says no feasible candidate exists and names the blocking rule</t>
  </si>
  <si>
    <t xml:space="preserve">FR-14</t>
  </si>
  <si>
    <t xml:space="preserve">AC-11; QA test with an impossible rule</t>
  </si>
  <si>
    <t xml:space="preserve">ST-08</t>
  </si>
  <si>
    <t xml:space="preserve">As a school administrator, I want the current and candidate plans compared in the same run, so that the comparison is fair.</t>
  </si>
  <si>
    <t xml:space="preserve">Given a candidate
When the comparison runs
Then modelled queue, p95 wait and total delay come from one deterministic run for both
And the overview baseline is not shown beside them</t>
  </si>
  <si>
    <t xml:space="preserve">FR-11</t>
  </si>
  <si>
    <t xml:space="preserve">AC-07; reproduced 3.8→0 veh, 2.5→0 min, 0.6→0 veh-h (synthetic)</t>
  </si>
  <si>
    <t xml:space="preserve">ST-09</t>
  </si>
  <si>
    <t xml:space="preserve">As a school administrator, I want to see how a plan behaves under stress, so that I know whether it survives a bad day.</t>
  </si>
  <si>
    <t xml:space="preserve">Implemented, testing incomplete (six case definitions pending)</t>
  </si>
  <si>
    <t xml:space="preserve">Given a candidate
When stress cases run
Then results appear for all six cases
And each states its modelled assumption</t>
  </si>
  <si>
    <t xml:space="preserve">FR-12</t>
  </si>
  <si>
    <t xml:space="preserve">AC-08; live demo step 5</t>
  </si>
  <si>
    <t xml:space="preserve">ST-10</t>
  </si>
  <si>
    <t xml:space="preserve">As a school administrator, I want every result labelled as a synthetic estimate, so that no one mistakes it for measured traffic.</t>
  </si>
  <si>
    <t xml:space="preserve">ST-08, ST-09</t>
  </si>
  <si>
    <t xml:space="preserve">Given any comparison or stress result
When it is displayed
Then the screen states “Synthetic deterministic estimate — not field-measured”</t>
  </si>
  <si>
    <t xml:space="preserve">FR-13</t>
  </si>
  <si>
    <t xml:space="preserve">AC-10; visual check</t>
  </si>
  <si>
    <t xml:space="preserve">ST-11</t>
  </si>
  <si>
    <t xml:space="preserve">As a school administrator, I want identical inputs to give identical results, so that I can rely on a rerun.</t>
  </si>
  <si>
    <t xml:space="preserve">Pending confirmation (deterministic by design; repeat-run check not done)</t>
  </si>
  <si>
    <t xml:space="preserve">Given identical scenario and rules
When search and comparison run twice
Then outputs are identical</t>
  </si>
  <si>
    <t xml:space="preserve">NFR-01</t>
  </si>
  <si>
    <t xml:space="preserve">AC-09; QA diff of two responses</t>
  </si>
  <si>
    <t xml:space="preserve">ST-12</t>
  </si>
  <si>
    <t xml:space="preserve">As a school administrator, I want a quick demo login with a role, so that I can open the workflow.</t>
  </si>
  <si>
    <t xml:space="preserve">Could</t>
  </si>
  <si>
    <t xml:space="preserve">Implemented, testing incomplete (demo convenience, not production authentication)</t>
  </si>
  <si>
    <t xml:space="preserve">Given the login screen
When a demo role is chosen
Then the workflow opens</t>
  </si>
  <si>
    <t xml:space="preserve">FR-15</t>
  </si>
  <si>
    <t xml:space="preserve">Live demo start</t>
  </si>
  <si>
    <t xml:space="preserve">ST-13</t>
  </si>
  <si>
    <t xml:space="preserve">As a school administrator using the tool at school, I want it to work without internet, so that a poor connection cannot stop it.</t>
  </si>
  <si>
    <t xml:space="preserve">ST-01 – ST-11</t>
  </si>
  <si>
    <t xml:space="preserve">Given Wi-Fi is off
When the full workflow is run in the browser
Then every screen works and no external call is attempted</t>
  </si>
  <si>
    <t xml:space="preserve">NFR-02</t>
  </si>
  <si>
    <t xml:space="preserve">QA offline run-through</t>
  </si>
  <si>
    <t xml:space="preserve">ST-14</t>
  </si>
  <si>
    <t xml:space="preserve">As a judge or new developer, I want to run the app from the README in under 5 minutes, so that I can check the work.</t>
  </si>
  <si>
    <t xml:space="preserve">Given a fresh clone
When I follow the README
Then backend and frontend start within 5 minutes</t>
  </si>
  <si>
    <t xml:space="preserve">NFR-03</t>
  </si>
  <si>
    <t xml:space="preserve">Timed fresh-clone test (kickoff hand-in)</t>
  </si>
  <si>
    <t xml:space="preserve">ST-15</t>
  </si>
  <si>
    <t xml:space="preserve">As a judge, I want a backup recording of the full workflow, so that I can assess the prototype even if the live app fails.</t>
  </si>
  <si>
    <t xml:space="preserve">Given the recording on the demo laptop
When it is played
Then it shows Overview → Diagnosis → Search → Comparison → Stress cases with labels visible</t>
  </si>
  <si>
    <t xml:space="preserve">Playback test before 10:00</t>
  </si>
  <si>
    <t xml:space="preserve">Subtask ID</t>
  </si>
  <si>
    <t xml:space="preserve">Task</t>
  </si>
  <si>
    <t xml:space="preserve">Responsible (role — name)</t>
  </si>
  <si>
    <t xml:space="preserve">SUB-01</t>
  </si>
  <si>
    <t xml:space="preserve">Return an explicit “no feasible candidate” result with the blocking rule from the search API</t>
  </si>
  <si>
    <t xml:space="preserve">Dev — Abishek Edwin Raj</t>
  </si>
  <si>
    <t xml:space="preserve">SUB-02</t>
  </si>
  <si>
    <t xml:space="preserve">Show the no-feasible message in Schedule Search</t>
  </si>
  <si>
    <t xml:space="preserve">UI/UX — Sanjay</t>
  </si>
  <si>
    <t xml:space="preserve">SUB-03</t>
  </si>
  <si>
    <t xml:space="preserve">Add “Synthetic deterministic estimate — not field-measured” to Comparison and Stress screens</t>
  </si>
  <si>
    <t xml:space="preserve">SUB-04</t>
  </si>
  <si>
    <t xml:space="preserve">Label the overview baseline (48 vehicles / 16.4 min) as scenario-provided</t>
  </si>
  <si>
    <t xml:space="preserve">SUB-05</t>
  </si>
  <si>
    <t xml:space="preserve">Write a one-line definition of each of the six stress cases</t>
  </si>
  <si>
    <t xml:space="preserve">BA + Dev — Rathi Sankari S, Abishek Edwin Raj</t>
  </si>
  <si>
    <t xml:space="preserve">SUB-06</t>
  </si>
  <si>
    <t xml:space="preserve">Confirm whether plain-text rules fill fixedGroups, or whether kindergarten must be added to fixedGroups directly</t>
  </si>
  <si>
    <t xml:space="preserve">SUB-07</t>
  </si>
  <si>
    <t xml:space="preserve">Run search and comparison twice; diff the responses</t>
  </si>
  <si>
    <t xml:space="preserve">QA — Venkatesan</t>
  </si>
  <si>
    <t xml:space="preserve">SUB-08</t>
  </si>
  <si>
    <t xml:space="preserve">Full browser run-through with Wi-Fi off</t>
  </si>
  <si>
    <t xml:space="preserve">SUB-09</t>
  </si>
  <si>
    <t xml:space="preserve">Write README start commands; time a fresh-clone start</t>
  </si>
  <si>
    <t xml:space="preserve">Dev + QA — Abishek Edwin Raj, Venkatesan</t>
  </si>
  <si>
    <t xml:space="preserve">SUB-10</t>
  </si>
  <si>
    <t xml:space="preserve">Record the full workflow; test playback on the demo laptop</t>
  </si>
  <si>
    <t xml:space="preserve">Test ID</t>
  </si>
  <si>
    <t xml:space="preserve">Check</t>
  </si>
  <si>
    <t xml:space="preserve">Result (Pass / Fail / Not run / Result not supplied)</t>
  </si>
  <si>
    <t xml:space="preserve">Notes (failure detail, evidence, date)</t>
  </si>
  <si>
    <t xml:space="preserve">Tester</t>
  </si>
  <si>
    <t xml:space="preserve">TC-01</t>
  </si>
  <si>
    <t xml:space="preserve">AC-01 Overview counts and labelled baseline</t>
  </si>
  <si>
    <t xml:space="preserve">Result not supplied</t>
  </si>
  <si>
    <t xml:space="preserve">QA reports testing complete; individual result not yet provided</t>
  </si>
  <si>
    <t xml:space="preserve">TC-02</t>
  </si>
  <si>
    <t xml:space="preserve">AC-02 Bottleneck named with rule</t>
  </si>
  <si>
    <t xml:space="preserve">TC-03</t>
  </si>
  <si>
    <t xml:space="preserve">Supported constraint text is parsed and applied</t>
  </si>
  <si>
    <t xml:space="preserve">TC-04</t>
  </si>
  <si>
    <t xml:space="preserve">AC-03 Kindergarten unchanged when in fixedGroups</t>
  </si>
  <si>
    <t xml:space="preserve">TC-05</t>
  </si>
  <si>
    <t xml:space="preserve">AC-04 Linked cohorts share release time when sibling sync on</t>
  </si>
  <si>
    <t xml:space="preserve">TC-06</t>
  </si>
  <si>
    <t xml:space="preserve">AC-05 No ineligible gate in any candidate</t>
  </si>
  <si>
    <t xml:space="preserve">TC-07</t>
  </si>
  <si>
    <t xml:space="preserve">AC-06 Counts shown; candidates non-dominated</t>
  </si>
  <si>
    <t xml:space="preserve">TC-08</t>
  </si>
  <si>
    <t xml:space="preserve">AC-11 No-feasible message with blocking rule</t>
  </si>
  <si>
    <t xml:space="preserve">TC-09</t>
  </si>
  <si>
    <t xml:space="preserve">AC-07 Same-run comparison; overview baseline not beside it</t>
  </si>
  <si>
    <t xml:space="preserve">TC-10</t>
  </si>
  <si>
    <t xml:space="preserve">AC-08 Six stress cases produce results</t>
  </si>
  <si>
    <t xml:space="preserve">TC-11</t>
  </si>
  <si>
    <t xml:space="preserve">AC-10 Synthetic label on every result</t>
  </si>
  <si>
    <t xml:space="preserve">TC-12</t>
  </si>
  <si>
    <t xml:space="preserve">AC-09 Identical output on rerun</t>
  </si>
  <si>
    <t xml:space="preserve">TC-13</t>
  </si>
  <si>
    <t xml:space="preserve">Demo login opens the workflow</t>
  </si>
  <si>
    <t xml:space="preserve">TC-14</t>
  </si>
  <si>
    <t xml:space="preserve">Full workflow with Wi-Fi off</t>
  </si>
  <si>
    <t xml:space="preserve">TC-15</t>
  </si>
  <si>
    <t xml:space="preserve">Fresh-clone start under 5 minutes</t>
  </si>
  <si>
    <t xml:space="preserve">TC-16</t>
  </si>
  <si>
    <t xml:space="preserve">Backup recording plays on the demo laptop</t>
  </si>
  <si>
    <t xml:space="preserve">Item (not a backlog story)</t>
  </si>
  <si>
    <t xml:space="preserve">PRD ref</t>
  </si>
  <si>
    <t xml:space="preserve">Status</t>
  </si>
  <si>
    <t xml:space="preserve">Reason</t>
  </si>
  <si>
    <t xml:space="preserve">Import observed gate counts</t>
  </si>
  <si>
    <t xml:space="preserve">FR-17</t>
  </si>
  <si>
    <t xml:space="preserve">Should (next release)</t>
  </si>
  <si>
    <t xml:space="preserve">Planned / not implemented</t>
  </si>
  <si>
    <t xml:space="preserve">Needs a field count first (MRD section 10)</t>
  </si>
  <si>
    <t xml:space="preserve">Field validation: gate count and P1/P2 interviews</t>
  </si>
  <si>
    <t xml:space="preserve">MRD section 10</t>
  </si>
  <si>
    <t xml:space="preserve">Research task, not a build story</t>
  </si>
  <si>
    <t xml:space="preserve">Vehicle-type pickup zones</t>
  </si>
  <si>
    <t xml:space="preserve">FR-16</t>
  </si>
  <si>
    <t xml:space="preserve">Won't (this MVP)</t>
  </si>
  <si>
    <t xml:space="preserve">Prototype reassigns gates by cohort</t>
  </si>
  <si>
    <t xml:space="preserve">SUMO run of the active scenario</t>
  </si>
  <si>
    <t xml:space="preserve">FR-20</t>
  </si>
  <si>
    <t xml:space="preserve">Planned / not implemented (separate six-group SUMO prototype exists)</t>
  </si>
  <si>
    <t xml:space="preserve">Different scenario; not connected</t>
  </si>
  <si>
    <t xml:space="preserve">Live traffic (Google Maps / Places)</t>
  </si>
  <si>
    <t xml:space="preserve">FR-18</t>
  </si>
  <si>
    <t xml:space="preserve">Configured but not live-verified (code present)</t>
  </si>
  <si>
    <t xml:space="preserve">Demo stays offline</t>
  </si>
  <si>
    <t xml:space="preserve">LLM assistance (OpenRouter)</t>
  </si>
  <si>
    <t xml:space="preserve">FR-19</t>
  </si>
  <si>
    <t xml:space="preserve">Not needed for the decision</t>
  </si>
  <si>
    <t xml:space="preserve">Parent notice</t>
  </si>
  <si>
    <t xml:space="preserve">FR-21</t>
  </si>
  <si>
    <t xml:space="preserve">Demo ends at plan comparison</t>
  </si>
  <si>
    <t xml:space="preserve">Result persistence</t>
  </si>
  <si>
    <t xml:space="preserve">FR-22</t>
  </si>
  <si>
    <t xml:space="preserve">Results held in memory</t>
  </si>
  <si>
    <t xml:space="preserve">Production authentication and deployment</t>
  </si>
  <si>
    <t xml:space="preserve">PRD section 4</t>
  </si>
  <si>
    <t xml:space="preserve">Demo login, local run only</t>
  </si>
  <si>
    <t xml:space="preserve">Trained ML model</t>
  </si>
  <si>
    <t xml:space="preserve">PRD section 1</t>
  </si>
  <si>
    <t xml:space="preserve">No observed data to learn from</t>
  </si>
  <si>
    <t xml:space="preserve">MRD need</t>
  </si>
  <si>
    <t xml:space="preserve">PRD feature</t>
  </si>
  <si>
    <t xml:space="preserve">Epics</t>
  </si>
  <si>
    <t xml:space="preserve">Stories</t>
  </si>
  <si>
    <t xml:space="preserve">Demo metric / tests</t>
  </si>
  <si>
    <t xml:space="preserve">N1 Rule-respecting changes</t>
  </si>
  <si>
    <t xml:space="preserve">M2</t>
  </si>
  <si>
    <t xml:space="preserve">ST-03 – ST-07</t>
  </si>
  <si>
    <t xml:space="preserve">SM2; TC-03 – TC-08</t>
  </si>
  <si>
    <t xml:space="preserve">N2 Where congestion builds</t>
  </si>
  <si>
    <t xml:space="preserve">M1, M2</t>
  </si>
  <si>
    <t xml:space="preserve">FR-03, FR-04, FR-08</t>
  </si>
  <si>
    <t xml:space="preserve">EP-01, EP-02</t>
  </si>
  <si>
    <t xml:space="preserve">ST-01, ST-02, ST-05</t>
  </si>
  <si>
    <t xml:space="preserve">SM1; TC-01, TC-02, TC-06</t>
  </si>
  <si>
    <t xml:space="preserve">N3 Compare before changing</t>
  </si>
  <si>
    <t xml:space="preserve">M3</t>
  </si>
  <si>
    <t xml:space="preserve">FR-11, FR-12, NFR-01</t>
  </si>
  <si>
    <t xml:space="preserve">ST-08, ST-09, ST-11</t>
  </si>
  <si>
    <t xml:space="preserve">SM3; TC-09, TC-10, TC-12</t>
  </si>
  <si>
    <t xml:space="preserve">N4 Understand results</t>
  </si>
  <si>
    <t xml:space="preserve">M1, M3</t>
  </si>
  <si>
    <t xml:space="preserve">FR-01, FR-02, FR-13</t>
  </si>
  <si>
    <t xml:space="preserve">EP-01, EP-03</t>
  </si>
  <si>
    <t xml:space="preserve">ST-01, ST-06, ST-10</t>
  </si>
  <si>
    <t xml:space="preserve">SM1; TC-01, TC-07, TC-11</t>
  </si>
  <si>
    <t xml:space="preserve">Demo readiness (kickoff hand-ins)</t>
  </si>
  <si>
    <t xml:space="preserve">C1</t>
  </si>
  <si>
    <t xml:space="preserve">ST-12 – ST-15</t>
  </si>
  <si>
    <t xml:space="preserve">SM1; TC-13 – TC-16</t>
  </si>
  <si>
    <t xml:space="preserve">N5, N6 (future)</t>
  </si>
  <si>
    <t xml:space="preserve">C3, S1</t>
  </si>
  <si>
    <t xml:space="preserve">FR-21, FR-17</t>
  </si>
  <si>
    <t xml:space="preserve">Out of scope sheet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</si>
</sst>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1C5C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1C5C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1C5C"/>
        <bgColor rgb="FF333333"/>
      </patternFill>
    </fill>
    <fill>
      <patternFill patternType="solid">
        <fgColor rgb="FFF2F1F8"/>
        <bgColor rgb="FFECECEC"/>
      </patternFill>
    </fill>
    <fill>
      <patternFill patternType="solid">
        <fgColor rgb="FFFFF3D6"/>
        <bgColor rgb="FFFDE7D9"/>
      </patternFill>
    </fill>
    <fill>
      <patternFill patternType="solid">
        <fgColor rgb="FFE3F1E1"/>
        <bgColor rgb="FFECECEC"/>
      </patternFill>
    </fill>
    <fill>
      <patternFill patternType="solid">
        <fgColor rgb="FFFDE7D9"/>
        <bgColor rgb="FFFFF3D6"/>
      </patternFill>
    </fill>
    <fill>
      <patternFill patternType="solid">
        <fgColor rgb="FFECECEC"/>
        <bgColor rgb="FFF2F1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8DD"/>
      </left>
      <right style="thin">
        <color rgb="FFC9C8DD"/>
      </right>
      <top style="thin">
        <color rgb="FFC9C8DD"/>
      </top>
      <bottom style="thin">
        <color rgb="FFC9C8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1C5C"/>
          <bgColor rgb="FF000000"/>
        </patternFill>
      </fill>
    </dxf>
    <dxf>
      <fill>
        <patternFill patternType="solid">
          <fgColor rgb="FFF2F1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1E1"/>
          <bgColor rgb="FF000000"/>
        </patternFill>
      </fill>
    </dxf>
    <dxf>
      <fill>
        <patternFill patternType="solid">
          <fgColor rgb="FFFDE7D9"/>
          <bgColor rgb="FF000000"/>
        </patternFill>
      </fill>
    </dxf>
    <dxf>
      <fill>
        <patternFill patternType="solid">
          <fgColor rgb="FFFFF3D6"/>
          <bgColor rgb="FF000000"/>
        </patternFill>
      </fill>
    </dxf>
    <dxf>
      <fill>
        <patternFill patternType="solid">
          <fgColor rgb="FFECECE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F2F1F8"/>
      <rgbColor rgb="FF660066"/>
      <rgbColor rgb="FFFF8080"/>
      <rgbColor rgb="FF0066CC"/>
      <rgbColor rgb="FFC9C8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CEC"/>
      <rgbColor rgb="FFE3F1E1"/>
      <rgbColor rgb="FFFDE7D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1C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23.85" hidden="false" customHeight="false" outlineLevel="0" collapsed="false">
      <c r="A5" s="2" t="s">
        <v>5</v>
      </c>
      <c r="B5" s="3" t="s">
        <v>6</v>
      </c>
    </row>
    <row r="6" customFormat="false" ht="23.85" hidden="false" customHeight="false" outlineLevel="0" collapsed="false">
      <c r="A6" s="2" t="s">
        <v>7</v>
      </c>
      <c r="B6" s="3" t="s">
        <v>8</v>
      </c>
    </row>
    <row r="7" customFormat="false" ht="35.0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23.85" hidden="false" customHeight="false" outlineLevel="0" collapsed="false">
      <c r="A9" s="2" t="s">
        <v>13</v>
      </c>
      <c r="B9" s="3" t="s">
        <v>14</v>
      </c>
    </row>
    <row r="11" customFormat="false" ht="15" hidden="false" customHeight="false" outlineLevel="0" collapsed="false">
      <c r="A11" s="4" t="s">
        <v>15</v>
      </c>
    </row>
    <row r="12" customFormat="false" ht="15" hidden="false" customHeight="false" outlineLevel="0" collapsed="false">
      <c r="A12" s="5" t="s">
        <v>16</v>
      </c>
      <c r="B12" s="6" t="n">
        <f aca="false">COUNTIF(Stories!$E$2:$E$16,"Implemented and tested*")</f>
        <v>3</v>
      </c>
    </row>
    <row r="13" customFormat="false" ht="15" hidden="false" customHeight="false" outlineLevel="0" collapsed="false">
      <c r="A13" s="5" t="s">
        <v>17</v>
      </c>
      <c r="B13" s="6" t="n">
        <f aca="false">COUNTIF(Stories!$E$2:$E$16,"Implemented, testing incomplete*")</f>
        <v>6</v>
      </c>
    </row>
    <row r="14" customFormat="false" ht="15" hidden="false" customHeight="false" outlineLevel="0" collapsed="false">
      <c r="A14" s="5" t="s">
        <v>18</v>
      </c>
      <c r="B14" s="6" t="n">
        <f aca="false">COUNTIF(Stories!$E$2:$E$16,"Pending confirmation*")</f>
        <v>6</v>
      </c>
    </row>
    <row r="15" customFormat="false" ht="15" hidden="false" customHeight="false" outlineLevel="0" collapsed="false">
      <c r="A15" s="2" t="s">
        <v>19</v>
      </c>
      <c r="B15" s="6" t="n">
        <f aca="false">COUNTA(Stories!$A$2:$A$16)</f>
        <v>15</v>
      </c>
    </row>
    <row r="16" customFormat="false" ht="15" hidden="false" customHeight="false" outlineLevel="0" collapsed="false">
      <c r="A16" s="5" t="s">
        <v>20</v>
      </c>
      <c r="B16" s="6" t="n">
        <f aca="false">COUNTIF('Test checklist'!$D$2:$D$17,"Pass")</f>
        <v>0</v>
      </c>
    </row>
    <row r="17" customFormat="false" ht="15" hidden="false" customHeight="false" outlineLevel="0" collapsed="false">
      <c r="A17" s="5" t="s">
        <v>21</v>
      </c>
      <c r="B17" s="6" t="n">
        <f aca="false">COUNTIF('Test checklist'!$D$2:$D$17,"Fail")</f>
        <v>0</v>
      </c>
    </row>
    <row r="18" customFormat="false" ht="15" hidden="false" customHeight="false" outlineLevel="0" collapsed="false">
      <c r="A18" s="5" t="s">
        <v>22</v>
      </c>
      <c r="B18" s="6" t="n">
        <f aca="false">COUNTIF('Test checklist'!$D$2:$D$17,"Result not supplied")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46"/>
    <col collapsed="false" customWidth="true" hidden="false" outlineLevel="0" max="6" min="5" style="0" width="14"/>
    <col collapsed="false" customWidth="true" hidden="false" outlineLevel="0" max="7" min="7" style="0" width="44"/>
    <col collapsed="false" customWidth="true" hidden="false" outlineLevel="0" max="8" min="8" style="0" width="20"/>
    <col collapsed="false" customWidth="true" hidden="false" outlineLevel="0" max="9" min="9" style="0" width="14"/>
  </cols>
  <sheetData>
    <row r="1" customFormat="false" ht="30" hidden="false" customHeight="true" outlineLevel="0" collapsed="false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</row>
    <row r="2" customFormat="false" ht="23.85" hidden="false" customHeight="false" outlineLevel="0" collapsed="false">
      <c r="A2" s="8" t="s">
        <v>32</v>
      </c>
      <c r="B2" s="8" t="s">
        <v>33</v>
      </c>
      <c r="C2" s="8" t="s">
        <v>34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  <c r="I2" s="8" t="s">
        <v>40</v>
      </c>
    </row>
    <row r="3" customFormat="false" ht="46.25" hidden="false" customHeight="false" outlineLevel="0" collapsed="false">
      <c r="A3" s="9" t="s">
        <v>41</v>
      </c>
      <c r="B3" s="9" t="s">
        <v>42</v>
      </c>
      <c r="C3" s="9" t="s">
        <v>43</v>
      </c>
      <c r="D3" s="9" t="s">
        <v>44</v>
      </c>
      <c r="E3" s="9" t="s">
        <v>36</v>
      </c>
      <c r="F3" s="9" t="s">
        <v>32</v>
      </c>
      <c r="G3" s="9" t="s">
        <v>45</v>
      </c>
      <c r="H3" s="9" t="s">
        <v>46</v>
      </c>
      <c r="I3" s="9" t="s">
        <v>47</v>
      </c>
    </row>
    <row r="4" customFormat="false" ht="23.85" hidden="false" customHeight="false" outlineLevel="0" collapsed="false">
      <c r="A4" s="8" t="s">
        <v>48</v>
      </c>
      <c r="B4" s="8" t="s">
        <v>49</v>
      </c>
      <c r="C4" s="8" t="s">
        <v>50</v>
      </c>
      <c r="D4" s="8" t="s">
        <v>51</v>
      </c>
      <c r="E4" s="8" t="s">
        <v>36</v>
      </c>
      <c r="F4" s="8" t="s">
        <v>41</v>
      </c>
      <c r="G4" s="8" t="s">
        <v>52</v>
      </c>
      <c r="H4" s="8" t="s">
        <v>53</v>
      </c>
      <c r="I4" s="8" t="s">
        <v>54</v>
      </c>
    </row>
    <row r="5" customFormat="false" ht="35.05" hidden="false" customHeight="false" outlineLevel="0" collapsed="false">
      <c r="A5" s="9" t="s">
        <v>55</v>
      </c>
      <c r="B5" s="9" t="s">
        <v>56</v>
      </c>
      <c r="C5" s="9" t="s">
        <v>57</v>
      </c>
      <c r="D5" s="9" t="s">
        <v>58</v>
      </c>
      <c r="E5" s="9" t="s">
        <v>59</v>
      </c>
      <c r="F5" s="9" t="s">
        <v>60</v>
      </c>
      <c r="G5" s="9" t="s">
        <v>61</v>
      </c>
      <c r="H5" s="9" t="s">
        <v>62</v>
      </c>
      <c r="I5" s="9" t="s">
        <v>63</v>
      </c>
    </row>
  </sheetData>
  <autoFilter ref="A1:I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13"/>
    <col collapsed="false" customWidth="true" hidden="false" outlineLevel="0" max="7" min="7" style="0" width="58"/>
    <col collapsed="false" customWidth="true" hidden="false" outlineLevel="0" max="8" min="8" style="0" width="15"/>
    <col collapsed="false" customWidth="true" hidden="false" outlineLevel="0" max="9" min="9" style="0" width="32"/>
  </cols>
  <sheetData>
    <row r="1" customFormat="false" ht="30" hidden="false" customHeight="true" outlineLevel="0" collapsed="false">
      <c r="A1" s="7" t="s">
        <v>64</v>
      </c>
      <c r="B1" s="7" t="s">
        <v>23</v>
      </c>
      <c r="C1" s="7" t="s">
        <v>65</v>
      </c>
      <c r="D1" s="7" t="s">
        <v>27</v>
      </c>
      <c r="E1" s="7" t="s">
        <v>66</v>
      </c>
      <c r="F1" s="7" t="s">
        <v>28</v>
      </c>
      <c r="G1" s="7" t="s">
        <v>67</v>
      </c>
      <c r="H1" s="7" t="s">
        <v>30</v>
      </c>
      <c r="I1" s="7" t="s">
        <v>68</v>
      </c>
    </row>
    <row r="2" customFormat="false" ht="57.45" hidden="false" customHeight="false" outlineLevel="0" collapsed="false">
      <c r="A2" s="8" t="s">
        <v>69</v>
      </c>
      <c r="B2" s="8" t="s">
        <v>32</v>
      </c>
      <c r="C2" s="8" t="s">
        <v>70</v>
      </c>
      <c r="D2" s="8" t="s">
        <v>36</v>
      </c>
      <c r="E2" s="10" t="s">
        <v>71</v>
      </c>
      <c r="F2" s="8" t="s">
        <v>72</v>
      </c>
      <c r="G2" s="8" t="s">
        <v>73</v>
      </c>
      <c r="H2" s="8" t="s">
        <v>74</v>
      </c>
      <c r="I2" s="8" t="s">
        <v>75</v>
      </c>
    </row>
    <row r="3" customFormat="false" ht="46.25" hidden="false" customHeight="false" outlineLevel="0" collapsed="false">
      <c r="A3" s="9" t="s">
        <v>76</v>
      </c>
      <c r="B3" s="9" t="s">
        <v>32</v>
      </c>
      <c r="C3" s="9" t="s">
        <v>77</v>
      </c>
      <c r="D3" s="9" t="s">
        <v>36</v>
      </c>
      <c r="E3" s="10" t="s">
        <v>78</v>
      </c>
      <c r="F3" s="9" t="s">
        <v>69</v>
      </c>
      <c r="G3" s="9" t="s">
        <v>79</v>
      </c>
      <c r="H3" s="9" t="s">
        <v>80</v>
      </c>
      <c r="I3" s="9" t="s">
        <v>81</v>
      </c>
    </row>
    <row r="4" customFormat="false" ht="35.05" hidden="false" customHeight="false" outlineLevel="0" collapsed="false">
      <c r="A4" s="8" t="s">
        <v>82</v>
      </c>
      <c r="B4" s="8" t="s">
        <v>41</v>
      </c>
      <c r="C4" s="8" t="s">
        <v>83</v>
      </c>
      <c r="D4" s="8" t="s">
        <v>36</v>
      </c>
      <c r="E4" s="10" t="s">
        <v>84</v>
      </c>
      <c r="F4" s="8" t="s">
        <v>69</v>
      </c>
      <c r="G4" s="8" t="s">
        <v>85</v>
      </c>
      <c r="H4" s="8" t="s">
        <v>86</v>
      </c>
      <c r="I4" s="8" t="s">
        <v>87</v>
      </c>
    </row>
    <row r="5" customFormat="false" ht="57.45" hidden="false" customHeight="false" outlineLevel="0" collapsed="false">
      <c r="A5" s="9" t="s">
        <v>88</v>
      </c>
      <c r="B5" s="9" t="s">
        <v>41</v>
      </c>
      <c r="C5" s="9" t="s">
        <v>89</v>
      </c>
      <c r="D5" s="9" t="s">
        <v>36</v>
      </c>
      <c r="E5" s="10" t="s">
        <v>90</v>
      </c>
      <c r="F5" s="9" t="s">
        <v>82</v>
      </c>
      <c r="G5" s="9" t="s">
        <v>91</v>
      </c>
      <c r="H5" s="9" t="s">
        <v>92</v>
      </c>
      <c r="I5" s="9" t="s">
        <v>93</v>
      </c>
    </row>
    <row r="6" customFormat="false" ht="46.25" hidden="false" customHeight="false" outlineLevel="0" collapsed="false">
      <c r="A6" s="8" t="s">
        <v>94</v>
      </c>
      <c r="B6" s="8" t="s">
        <v>41</v>
      </c>
      <c r="C6" s="8" t="s">
        <v>95</v>
      </c>
      <c r="D6" s="8" t="s">
        <v>36</v>
      </c>
      <c r="E6" s="11" t="s">
        <v>96</v>
      </c>
      <c r="F6" s="8" t="s">
        <v>69</v>
      </c>
      <c r="G6" s="8" t="s">
        <v>97</v>
      </c>
      <c r="H6" s="8" t="s">
        <v>98</v>
      </c>
      <c r="I6" s="8" t="s">
        <v>99</v>
      </c>
    </row>
    <row r="7" customFormat="false" ht="57.45" hidden="false" customHeight="false" outlineLevel="0" collapsed="false">
      <c r="A7" s="9" t="s">
        <v>100</v>
      </c>
      <c r="B7" s="9" t="s">
        <v>41</v>
      </c>
      <c r="C7" s="9" t="s">
        <v>101</v>
      </c>
      <c r="D7" s="9" t="s">
        <v>36</v>
      </c>
      <c r="E7" s="11" t="s">
        <v>96</v>
      </c>
      <c r="F7" s="9" t="s">
        <v>102</v>
      </c>
      <c r="G7" s="9" t="s">
        <v>103</v>
      </c>
      <c r="H7" s="9" t="s">
        <v>104</v>
      </c>
      <c r="I7" s="9" t="s">
        <v>105</v>
      </c>
    </row>
    <row r="8" customFormat="false" ht="46.25" hidden="false" customHeight="false" outlineLevel="0" collapsed="false">
      <c r="A8" s="8" t="s">
        <v>106</v>
      </c>
      <c r="B8" s="8" t="s">
        <v>41</v>
      </c>
      <c r="C8" s="8" t="s">
        <v>107</v>
      </c>
      <c r="D8" s="8" t="s">
        <v>36</v>
      </c>
      <c r="E8" s="12" t="s">
        <v>18</v>
      </c>
      <c r="F8" s="8" t="s">
        <v>100</v>
      </c>
      <c r="G8" s="8" t="s">
        <v>108</v>
      </c>
      <c r="H8" s="8" t="s">
        <v>109</v>
      </c>
      <c r="I8" s="8" t="s">
        <v>110</v>
      </c>
    </row>
    <row r="9" customFormat="false" ht="57.45" hidden="false" customHeight="false" outlineLevel="0" collapsed="false">
      <c r="A9" s="9" t="s">
        <v>111</v>
      </c>
      <c r="B9" s="9" t="s">
        <v>48</v>
      </c>
      <c r="C9" s="9" t="s">
        <v>112</v>
      </c>
      <c r="D9" s="9" t="s">
        <v>36</v>
      </c>
      <c r="E9" s="11" t="s">
        <v>96</v>
      </c>
      <c r="F9" s="9" t="s">
        <v>100</v>
      </c>
      <c r="G9" s="9" t="s">
        <v>113</v>
      </c>
      <c r="H9" s="9" t="s">
        <v>114</v>
      </c>
      <c r="I9" s="9" t="s">
        <v>115</v>
      </c>
    </row>
    <row r="10" customFormat="false" ht="46.25" hidden="false" customHeight="false" outlineLevel="0" collapsed="false">
      <c r="A10" s="8" t="s">
        <v>116</v>
      </c>
      <c r="B10" s="8" t="s">
        <v>48</v>
      </c>
      <c r="C10" s="8" t="s">
        <v>117</v>
      </c>
      <c r="D10" s="8" t="s">
        <v>36</v>
      </c>
      <c r="E10" s="10" t="s">
        <v>118</v>
      </c>
      <c r="F10" s="8" t="s">
        <v>111</v>
      </c>
      <c r="G10" s="8" t="s">
        <v>119</v>
      </c>
      <c r="H10" s="8" t="s">
        <v>120</v>
      </c>
      <c r="I10" s="8" t="s">
        <v>121</v>
      </c>
    </row>
    <row r="11" customFormat="false" ht="46.25" hidden="false" customHeight="false" outlineLevel="0" collapsed="false">
      <c r="A11" s="9" t="s">
        <v>122</v>
      </c>
      <c r="B11" s="9" t="s">
        <v>48</v>
      </c>
      <c r="C11" s="9" t="s">
        <v>123</v>
      </c>
      <c r="D11" s="9" t="s">
        <v>36</v>
      </c>
      <c r="E11" s="12" t="s">
        <v>18</v>
      </c>
      <c r="F11" s="9" t="s">
        <v>124</v>
      </c>
      <c r="G11" s="9" t="s">
        <v>125</v>
      </c>
      <c r="H11" s="9" t="s">
        <v>126</v>
      </c>
      <c r="I11" s="9" t="s">
        <v>127</v>
      </c>
    </row>
    <row r="12" customFormat="false" ht="35.05" hidden="false" customHeight="false" outlineLevel="0" collapsed="false">
      <c r="A12" s="8" t="s">
        <v>128</v>
      </c>
      <c r="B12" s="8" t="s">
        <v>48</v>
      </c>
      <c r="C12" s="8" t="s">
        <v>129</v>
      </c>
      <c r="D12" s="8" t="s">
        <v>36</v>
      </c>
      <c r="E12" s="12" t="s">
        <v>130</v>
      </c>
      <c r="F12" s="8" t="s">
        <v>111</v>
      </c>
      <c r="G12" s="8" t="s">
        <v>131</v>
      </c>
      <c r="H12" s="8" t="s">
        <v>132</v>
      </c>
      <c r="I12" s="8" t="s">
        <v>133</v>
      </c>
    </row>
    <row r="13" customFormat="false" ht="35.05" hidden="false" customHeight="false" outlineLevel="0" collapsed="false">
      <c r="A13" s="9" t="s">
        <v>134</v>
      </c>
      <c r="B13" s="9" t="s">
        <v>55</v>
      </c>
      <c r="C13" s="9" t="s">
        <v>135</v>
      </c>
      <c r="D13" s="9" t="s">
        <v>136</v>
      </c>
      <c r="E13" s="10" t="s">
        <v>137</v>
      </c>
      <c r="F13" s="9" t="s">
        <v>72</v>
      </c>
      <c r="G13" s="9" t="s">
        <v>138</v>
      </c>
      <c r="H13" s="9" t="s">
        <v>139</v>
      </c>
      <c r="I13" s="9" t="s">
        <v>140</v>
      </c>
    </row>
    <row r="14" customFormat="false" ht="35.05" hidden="false" customHeight="false" outlineLevel="0" collapsed="false">
      <c r="A14" s="8" t="s">
        <v>141</v>
      </c>
      <c r="B14" s="8" t="s">
        <v>55</v>
      </c>
      <c r="C14" s="8" t="s">
        <v>142</v>
      </c>
      <c r="D14" s="8" t="s">
        <v>36</v>
      </c>
      <c r="E14" s="12" t="s">
        <v>18</v>
      </c>
      <c r="F14" s="8" t="s">
        <v>143</v>
      </c>
      <c r="G14" s="8" t="s">
        <v>144</v>
      </c>
      <c r="H14" s="8" t="s">
        <v>145</v>
      </c>
      <c r="I14" s="8" t="s">
        <v>146</v>
      </c>
    </row>
    <row r="15" customFormat="false" ht="35.05" hidden="false" customHeight="false" outlineLevel="0" collapsed="false">
      <c r="A15" s="9" t="s">
        <v>147</v>
      </c>
      <c r="B15" s="9" t="s">
        <v>55</v>
      </c>
      <c r="C15" s="9" t="s">
        <v>148</v>
      </c>
      <c r="D15" s="9" t="s">
        <v>36</v>
      </c>
      <c r="E15" s="12" t="s">
        <v>18</v>
      </c>
      <c r="F15" s="9" t="s">
        <v>141</v>
      </c>
      <c r="G15" s="9" t="s">
        <v>149</v>
      </c>
      <c r="H15" s="9" t="s">
        <v>150</v>
      </c>
      <c r="I15" s="9" t="s">
        <v>151</v>
      </c>
    </row>
    <row r="16" customFormat="false" ht="46.25" hidden="false" customHeight="false" outlineLevel="0" collapsed="false">
      <c r="A16" s="8" t="s">
        <v>152</v>
      </c>
      <c r="B16" s="8" t="s">
        <v>55</v>
      </c>
      <c r="C16" s="8" t="s">
        <v>153</v>
      </c>
      <c r="D16" s="8" t="s">
        <v>36</v>
      </c>
      <c r="E16" s="12" t="s">
        <v>18</v>
      </c>
      <c r="F16" s="8" t="s">
        <v>122</v>
      </c>
      <c r="G16" s="8" t="s">
        <v>154</v>
      </c>
      <c r="H16" s="8" t="s">
        <v>150</v>
      </c>
      <c r="I16" s="8" t="s">
        <v>155</v>
      </c>
    </row>
  </sheetData>
  <autoFilter ref="A1:I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80"/>
    <col collapsed="false" customWidth="true" hidden="false" outlineLevel="0" max="4" min="4" style="0" width="40"/>
  </cols>
  <sheetData>
    <row r="1" customFormat="false" ht="30" hidden="false" customHeight="true" outlineLevel="0" collapsed="false">
      <c r="A1" s="7" t="s">
        <v>156</v>
      </c>
      <c r="B1" s="7" t="s">
        <v>64</v>
      </c>
      <c r="C1" s="7" t="s">
        <v>157</v>
      </c>
      <c r="D1" s="7" t="s">
        <v>158</v>
      </c>
    </row>
    <row r="2" customFormat="false" ht="15" hidden="false" customHeight="false" outlineLevel="0" collapsed="false">
      <c r="A2" s="8" t="s">
        <v>159</v>
      </c>
      <c r="B2" s="8" t="s">
        <v>106</v>
      </c>
      <c r="C2" s="8" t="s">
        <v>160</v>
      </c>
      <c r="D2" s="8" t="s">
        <v>161</v>
      </c>
    </row>
    <row r="3" customFormat="false" ht="15" hidden="false" customHeight="false" outlineLevel="0" collapsed="false">
      <c r="A3" s="9" t="s">
        <v>162</v>
      </c>
      <c r="B3" s="9" t="s">
        <v>106</v>
      </c>
      <c r="C3" s="9" t="s">
        <v>163</v>
      </c>
      <c r="D3" s="9" t="s">
        <v>164</v>
      </c>
    </row>
    <row r="4" customFormat="false" ht="15" hidden="false" customHeight="false" outlineLevel="0" collapsed="false">
      <c r="A4" s="8" t="s">
        <v>165</v>
      </c>
      <c r="B4" s="8" t="s">
        <v>122</v>
      </c>
      <c r="C4" s="8" t="s">
        <v>166</v>
      </c>
      <c r="D4" s="8" t="s">
        <v>164</v>
      </c>
    </row>
    <row r="5" customFormat="false" ht="15" hidden="false" customHeight="false" outlineLevel="0" collapsed="false">
      <c r="A5" s="9" t="s">
        <v>167</v>
      </c>
      <c r="B5" s="9" t="s">
        <v>69</v>
      </c>
      <c r="C5" s="9" t="s">
        <v>168</v>
      </c>
      <c r="D5" s="9" t="s">
        <v>164</v>
      </c>
    </row>
    <row r="6" customFormat="false" ht="15" hidden="false" customHeight="false" outlineLevel="0" collapsed="false">
      <c r="A6" s="8" t="s">
        <v>169</v>
      </c>
      <c r="B6" s="8" t="s">
        <v>116</v>
      </c>
      <c r="C6" s="8" t="s">
        <v>170</v>
      </c>
      <c r="D6" s="8" t="s">
        <v>171</v>
      </c>
    </row>
    <row r="7" customFormat="false" ht="23.85" hidden="false" customHeight="false" outlineLevel="0" collapsed="false">
      <c r="A7" s="9" t="s">
        <v>172</v>
      </c>
      <c r="B7" s="9" t="s">
        <v>88</v>
      </c>
      <c r="C7" s="9" t="s">
        <v>173</v>
      </c>
      <c r="D7" s="9" t="s">
        <v>161</v>
      </c>
    </row>
    <row r="8" customFormat="false" ht="15" hidden="false" customHeight="false" outlineLevel="0" collapsed="false">
      <c r="A8" s="8" t="s">
        <v>174</v>
      </c>
      <c r="B8" s="8" t="s">
        <v>128</v>
      </c>
      <c r="C8" s="8" t="s">
        <v>175</v>
      </c>
      <c r="D8" s="8" t="s">
        <v>176</v>
      </c>
    </row>
    <row r="9" customFormat="false" ht="15" hidden="false" customHeight="false" outlineLevel="0" collapsed="false">
      <c r="A9" s="9" t="s">
        <v>177</v>
      </c>
      <c r="B9" s="9" t="s">
        <v>141</v>
      </c>
      <c r="C9" s="9" t="s">
        <v>178</v>
      </c>
      <c r="D9" s="9" t="s">
        <v>176</v>
      </c>
    </row>
    <row r="10" customFormat="false" ht="15" hidden="false" customHeight="false" outlineLevel="0" collapsed="false">
      <c r="A10" s="8" t="s">
        <v>179</v>
      </c>
      <c r="B10" s="8" t="s">
        <v>147</v>
      </c>
      <c r="C10" s="8" t="s">
        <v>180</v>
      </c>
      <c r="D10" s="8" t="s">
        <v>181</v>
      </c>
    </row>
    <row r="11" customFormat="false" ht="15" hidden="false" customHeight="false" outlineLevel="0" collapsed="false">
      <c r="A11" s="9" t="s">
        <v>182</v>
      </c>
      <c r="B11" s="9" t="s">
        <v>152</v>
      </c>
      <c r="C11" s="9" t="s">
        <v>183</v>
      </c>
      <c r="D11" s="9" t="s">
        <v>164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58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20"/>
  </cols>
  <sheetData>
    <row r="1" customFormat="false" ht="30" hidden="false" customHeight="true" outlineLevel="0" collapsed="false">
      <c r="A1" s="7" t="s">
        <v>184</v>
      </c>
      <c r="B1" s="7" t="s">
        <v>64</v>
      </c>
      <c r="C1" s="7" t="s">
        <v>185</v>
      </c>
      <c r="D1" s="7" t="s">
        <v>186</v>
      </c>
      <c r="E1" s="7" t="s">
        <v>187</v>
      </c>
      <c r="F1" s="7" t="s">
        <v>188</v>
      </c>
    </row>
    <row r="2" customFormat="false" ht="23.85" hidden="false" customHeight="false" outlineLevel="0" collapsed="false">
      <c r="A2" s="8" t="s">
        <v>189</v>
      </c>
      <c r="B2" s="8" t="s">
        <v>69</v>
      </c>
      <c r="C2" s="8" t="s">
        <v>190</v>
      </c>
      <c r="D2" s="8" t="s">
        <v>191</v>
      </c>
      <c r="E2" s="8" t="s">
        <v>192</v>
      </c>
      <c r="F2" s="8" t="s">
        <v>176</v>
      </c>
    </row>
    <row r="3" customFormat="false" ht="23.85" hidden="false" customHeight="false" outlineLevel="0" collapsed="false">
      <c r="A3" s="9" t="s">
        <v>193</v>
      </c>
      <c r="B3" s="9" t="s">
        <v>76</v>
      </c>
      <c r="C3" s="9" t="s">
        <v>194</v>
      </c>
      <c r="D3" s="9" t="s">
        <v>191</v>
      </c>
      <c r="E3" s="9" t="s">
        <v>192</v>
      </c>
      <c r="F3" s="9" t="s">
        <v>176</v>
      </c>
    </row>
    <row r="4" customFormat="false" ht="23.85" hidden="false" customHeight="false" outlineLevel="0" collapsed="false">
      <c r="A4" s="8" t="s">
        <v>195</v>
      </c>
      <c r="B4" s="8" t="s">
        <v>82</v>
      </c>
      <c r="C4" s="8" t="s">
        <v>196</v>
      </c>
      <c r="D4" s="8" t="s">
        <v>191</v>
      </c>
      <c r="E4" s="8" t="s">
        <v>192</v>
      </c>
      <c r="F4" s="8" t="s">
        <v>176</v>
      </c>
    </row>
    <row r="5" customFormat="false" ht="23.85" hidden="false" customHeight="false" outlineLevel="0" collapsed="false">
      <c r="A5" s="9" t="s">
        <v>197</v>
      </c>
      <c r="B5" s="9" t="s">
        <v>88</v>
      </c>
      <c r="C5" s="9" t="s">
        <v>198</v>
      </c>
      <c r="D5" s="9" t="s">
        <v>191</v>
      </c>
      <c r="E5" s="9" t="s">
        <v>192</v>
      </c>
      <c r="F5" s="9" t="s">
        <v>176</v>
      </c>
    </row>
    <row r="6" customFormat="false" ht="23.85" hidden="false" customHeight="false" outlineLevel="0" collapsed="false">
      <c r="A6" s="8" t="s">
        <v>199</v>
      </c>
      <c r="B6" s="8" t="s">
        <v>88</v>
      </c>
      <c r="C6" s="8" t="s">
        <v>200</v>
      </c>
      <c r="D6" s="8" t="s">
        <v>191</v>
      </c>
      <c r="E6" s="8" t="s">
        <v>192</v>
      </c>
      <c r="F6" s="8" t="s">
        <v>176</v>
      </c>
    </row>
    <row r="7" customFormat="false" ht="23.85" hidden="false" customHeight="false" outlineLevel="0" collapsed="false">
      <c r="A7" s="9" t="s">
        <v>201</v>
      </c>
      <c r="B7" s="9" t="s">
        <v>94</v>
      </c>
      <c r="C7" s="9" t="s">
        <v>202</v>
      </c>
      <c r="D7" s="9" t="s">
        <v>191</v>
      </c>
      <c r="E7" s="9" t="s">
        <v>192</v>
      </c>
      <c r="F7" s="9" t="s">
        <v>176</v>
      </c>
    </row>
    <row r="8" customFormat="false" ht="23.85" hidden="false" customHeight="false" outlineLevel="0" collapsed="false">
      <c r="A8" s="8" t="s">
        <v>203</v>
      </c>
      <c r="B8" s="8" t="s">
        <v>100</v>
      </c>
      <c r="C8" s="8" t="s">
        <v>204</v>
      </c>
      <c r="D8" s="8" t="s">
        <v>191</v>
      </c>
      <c r="E8" s="8" t="s">
        <v>192</v>
      </c>
      <c r="F8" s="8" t="s">
        <v>176</v>
      </c>
    </row>
    <row r="9" customFormat="false" ht="23.85" hidden="false" customHeight="false" outlineLevel="0" collapsed="false">
      <c r="A9" s="9" t="s">
        <v>205</v>
      </c>
      <c r="B9" s="9" t="s">
        <v>106</v>
      </c>
      <c r="C9" s="9" t="s">
        <v>206</v>
      </c>
      <c r="D9" s="9" t="s">
        <v>191</v>
      </c>
      <c r="E9" s="9" t="s">
        <v>192</v>
      </c>
      <c r="F9" s="9" t="s">
        <v>176</v>
      </c>
    </row>
    <row r="10" customFormat="false" ht="23.85" hidden="false" customHeight="false" outlineLevel="0" collapsed="false">
      <c r="A10" s="8" t="s">
        <v>207</v>
      </c>
      <c r="B10" s="8" t="s">
        <v>111</v>
      </c>
      <c r="C10" s="8" t="s">
        <v>208</v>
      </c>
      <c r="D10" s="8" t="s">
        <v>191</v>
      </c>
      <c r="E10" s="8" t="s">
        <v>192</v>
      </c>
      <c r="F10" s="8" t="s">
        <v>176</v>
      </c>
    </row>
    <row r="11" customFormat="false" ht="23.85" hidden="false" customHeight="false" outlineLevel="0" collapsed="false">
      <c r="A11" s="9" t="s">
        <v>209</v>
      </c>
      <c r="B11" s="9" t="s">
        <v>116</v>
      </c>
      <c r="C11" s="9" t="s">
        <v>210</v>
      </c>
      <c r="D11" s="9" t="s">
        <v>191</v>
      </c>
      <c r="E11" s="9" t="s">
        <v>192</v>
      </c>
      <c r="F11" s="9" t="s">
        <v>176</v>
      </c>
    </row>
    <row r="12" customFormat="false" ht="23.85" hidden="false" customHeight="false" outlineLevel="0" collapsed="false">
      <c r="A12" s="8" t="s">
        <v>211</v>
      </c>
      <c r="B12" s="8" t="s">
        <v>122</v>
      </c>
      <c r="C12" s="8" t="s">
        <v>212</v>
      </c>
      <c r="D12" s="8" t="s">
        <v>191</v>
      </c>
      <c r="E12" s="8" t="s">
        <v>192</v>
      </c>
      <c r="F12" s="8" t="s">
        <v>176</v>
      </c>
    </row>
    <row r="13" customFormat="false" ht="23.85" hidden="false" customHeight="false" outlineLevel="0" collapsed="false">
      <c r="A13" s="9" t="s">
        <v>213</v>
      </c>
      <c r="B13" s="9" t="s">
        <v>128</v>
      </c>
      <c r="C13" s="9" t="s">
        <v>214</v>
      </c>
      <c r="D13" s="9" t="s">
        <v>191</v>
      </c>
      <c r="E13" s="9" t="s">
        <v>192</v>
      </c>
      <c r="F13" s="9" t="s">
        <v>176</v>
      </c>
    </row>
    <row r="14" customFormat="false" ht="23.85" hidden="false" customHeight="false" outlineLevel="0" collapsed="false">
      <c r="A14" s="8" t="s">
        <v>215</v>
      </c>
      <c r="B14" s="8" t="s">
        <v>134</v>
      </c>
      <c r="C14" s="8" t="s">
        <v>216</v>
      </c>
      <c r="D14" s="8" t="s">
        <v>191</v>
      </c>
      <c r="E14" s="8" t="s">
        <v>192</v>
      </c>
      <c r="F14" s="8" t="s">
        <v>176</v>
      </c>
    </row>
    <row r="15" customFormat="false" ht="23.85" hidden="false" customHeight="false" outlineLevel="0" collapsed="false">
      <c r="A15" s="9" t="s">
        <v>217</v>
      </c>
      <c r="B15" s="9" t="s">
        <v>141</v>
      </c>
      <c r="C15" s="9" t="s">
        <v>218</v>
      </c>
      <c r="D15" s="9" t="s">
        <v>191</v>
      </c>
      <c r="E15" s="9" t="s">
        <v>192</v>
      </c>
      <c r="F15" s="9" t="s">
        <v>176</v>
      </c>
    </row>
    <row r="16" customFormat="false" ht="23.85" hidden="false" customHeight="false" outlineLevel="0" collapsed="false">
      <c r="A16" s="8" t="s">
        <v>219</v>
      </c>
      <c r="B16" s="8" t="s">
        <v>147</v>
      </c>
      <c r="C16" s="8" t="s">
        <v>220</v>
      </c>
      <c r="D16" s="8" t="s">
        <v>191</v>
      </c>
      <c r="E16" s="8" t="s">
        <v>192</v>
      </c>
      <c r="F16" s="8" t="s">
        <v>176</v>
      </c>
    </row>
    <row r="17" customFormat="false" ht="23.85" hidden="false" customHeight="false" outlineLevel="0" collapsed="false">
      <c r="A17" s="9" t="s">
        <v>221</v>
      </c>
      <c r="B17" s="9" t="s">
        <v>152</v>
      </c>
      <c r="C17" s="9" t="s">
        <v>222</v>
      </c>
      <c r="D17" s="9" t="s">
        <v>191</v>
      </c>
      <c r="E17" s="9" t="s">
        <v>192</v>
      </c>
      <c r="F17" s="9" t="s">
        <v>176</v>
      </c>
    </row>
  </sheetData>
  <autoFilter ref="A1:F17"/>
  <dataValidations count="1">
    <dataValidation allowBlank="false" errorStyle="stop" operator="between" showDropDown="false" showErrorMessage="false" showInputMessage="false" sqref="D2:D17" type="list">
      <formula1>"Pass,Fail,Not run,Result not supplied"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36"/>
    <col collapsed="false" customWidth="true" hidden="false" outlineLevel="0" max="5" min="5" style="0" width="40"/>
  </cols>
  <sheetData>
    <row r="1" customFormat="false" ht="30" hidden="false" customHeight="true" outlineLevel="0" collapsed="false">
      <c r="A1" s="7" t="s">
        <v>223</v>
      </c>
      <c r="B1" s="7" t="s">
        <v>224</v>
      </c>
      <c r="C1" s="7" t="s">
        <v>27</v>
      </c>
      <c r="D1" s="7" t="s">
        <v>225</v>
      </c>
      <c r="E1" s="7" t="s">
        <v>226</v>
      </c>
    </row>
    <row r="2" customFormat="false" ht="15" hidden="false" customHeight="false" outlineLevel="0" collapsed="false">
      <c r="A2" s="8" t="s">
        <v>227</v>
      </c>
      <c r="B2" s="8" t="s">
        <v>228</v>
      </c>
      <c r="C2" s="8" t="s">
        <v>229</v>
      </c>
      <c r="D2" s="13" t="s">
        <v>230</v>
      </c>
      <c r="E2" s="8" t="s">
        <v>231</v>
      </c>
    </row>
    <row r="3" customFormat="false" ht="15" hidden="false" customHeight="false" outlineLevel="0" collapsed="false">
      <c r="A3" s="9" t="s">
        <v>232</v>
      </c>
      <c r="B3" s="9" t="s">
        <v>233</v>
      </c>
      <c r="C3" s="9" t="s">
        <v>229</v>
      </c>
      <c r="D3" s="13" t="s">
        <v>230</v>
      </c>
      <c r="E3" s="9" t="s">
        <v>234</v>
      </c>
    </row>
    <row r="4" customFormat="false" ht="15" hidden="false" customHeight="false" outlineLevel="0" collapsed="false">
      <c r="A4" s="8" t="s">
        <v>235</v>
      </c>
      <c r="B4" s="8" t="s">
        <v>236</v>
      </c>
      <c r="C4" s="8" t="s">
        <v>237</v>
      </c>
      <c r="D4" s="13" t="s">
        <v>230</v>
      </c>
      <c r="E4" s="8" t="s">
        <v>238</v>
      </c>
    </row>
    <row r="5" customFormat="false" ht="23.85" hidden="false" customHeight="false" outlineLevel="0" collapsed="false">
      <c r="A5" s="9" t="s">
        <v>239</v>
      </c>
      <c r="B5" s="9" t="s">
        <v>240</v>
      </c>
      <c r="C5" s="9" t="s">
        <v>237</v>
      </c>
      <c r="D5" s="13" t="s">
        <v>241</v>
      </c>
      <c r="E5" s="9" t="s">
        <v>242</v>
      </c>
    </row>
    <row r="6" customFormat="false" ht="23.85" hidden="false" customHeight="false" outlineLevel="0" collapsed="false">
      <c r="A6" s="8" t="s">
        <v>243</v>
      </c>
      <c r="B6" s="8" t="s">
        <v>244</v>
      </c>
      <c r="C6" s="8" t="s">
        <v>237</v>
      </c>
      <c r="D6" s="10" t="s">
        <v>245</v>
      </c>
      <c r="E6" s="8" t="s">
        <v>246</v>
      </c>
    </row>
    <row r="7" customFormat="false" ht="23.85" hidden="false" customHeight="false" outlineLevel="0" collapsed="false">
      <c r="A7" s="9" t="s">
        <v>247</v>
      </c>
      <c r="B7" s="9" t="s">
        <v>248</v>
      </c>
      <c r="C7" s="9" t="s">
        <v>136</v>
      </c>
      <c r="D7" s="10" t="s">
        <v>245</v>
      </c>
      <c r="E7" s="9" t="s">
        <v>249</v>
      </c>
    </row>
    <row r="8" customFormat="false" ht="15" hidden="false" customHeight="false" outlineLevel="0" collapsed="false">
      <c r="A8" s="8" t="s">
        <v>250</v>
      </c>
      <c r="B8" s="8" t="s">
        <v>251</v>
      </c>
      <c r="C8" s="8" t="s">
        <v>136</v>
      </c>
      <c r="D8" s="13" t="s">
        <v>230</v>
      </c>
      <c r="E8" s="8" t="s">
        <v>252</v>
      </c>
    </row>
    <row r="9" customFormat="false" ht="15" hidden="false" customHeight="false" outlineLevel="0" collapsed="false">
      <c r="A9" s="9" t="s">
        <v>253</v>
      </c>
      <c r="B9" s="9" t="s">
        <v>254</v>
      </c>
      <c r="C9" s="9" t="s">
        <v>237</v>
      </c>
      <c r="D9" s="13" t="s">
        <v>230</v>
      </c>
      <c r="E9" s="9" t="s">
        <v>255</v>
      </c>
    </row>
    <row r="10" customFormat="false" ht="15" hidden="false" customHeight="false" outlineLevel="0" collapsed="false">
      <c r="A10" s="8" t="s">
        <v>256</v>
      </c>
      <c r="B10" s="8" t="s">
        <v>257</v>
      </c>
      <c r="C10" s="8" t="s">
        <v>237</v>
      </c>
      <c r="D10" s="13" t="s">
        <v>230</v>
      </c>
      <c r="E10" s="8" t="s">
        <v>258</v>
      </c>
    </row>
    <row r="11" customFormat="false" ht="15" hidden="false" customHeight="false" outlineLevel="0" collapsed="false">
      <c r="A11" s="9" t="s">
        <v>259</v>
      </c>
      <c r="B11" s="9" t="s">
        <v>260</v>
      </c>
      <c r="C11" s="9" t="s">
        <v>237</v>
      </c>
      <c r="D11" s="13" t="s">
        <v>230</v>
      </c>
      <c r="E11" s="9" t="s">
        <v>261</v>
      </c>
    </row>
  </sheetData>
  <autoFilter ref="A1:E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26"/>
  </cols>
  <sheetData>
    <row r="1" customFormat="false" ht="30" hidden="false" customHeight="true" outlineLevel="0" collapsed="false">
      <c r="A1" s="7" t="s">
        <v>262</v>
      </c>
      <c r="B1" s="7" t="s">
        <v>263</v>
      </c>
      <c r="C1" s="7" t="s">
        <v>30</v>
      </c>
      <c r="D1" s="7" t="s">
        <v>264</v>
      </c>
      <c r="E1" s="7" t="s">
        <v>265</v>
      </c>
      <c r="F1" s="7" t="s">
        <v>266</v>
      </c>
    </row>
    <row r="2" customFormat="false" ht="15" hidden="false" customHeight="false" outlineLevel="0" collapsed="false">
      <c r="A2" s="8" t="s">
        <v>267</v>
      </c>
      <c r="B2" s="8" t="s">
        <v>268</v>
      </c>
      <c r="C2" s="8" t="s">
        <v>46</v>
      </c>
      <c r="D2" s="8" t="s">
        <v>41</v>
      </c>
      <c r="E2" s="8" t="s">
        <v>269</v>
      </c>
      <c r="F2" s="8" t="s">
        <v>270</v>
      </c>
    </row>
    <row r="3" customFormat="false" ht="15" hidden="false" customHeight="false" outlineLevel="0" collapsed="false">
      <c r="A3" s="9" t="s">
        <v>271</v>
      </c>
      <c r="B3" s="9" t="s">
        <v>272</v>
      </c>
      <c r="C3" s="9" t="s">
        <v>273</v>
      </c>
      <c r="D3" s="9" t="s">
        <v>274</v>
      </c>
      <c r="E3" s="9" t="s">
        <v>275</v>
      </c>
      <c r="F3" s="9" t="s">
        <v>276</v>
      </c>
    </row>
    <row r="4" customFormat="false" ht="15" hidden="false" customHeight="false" outlineLevel="0" collapsed="false">
      <c r="A4" s="8" t="s">
        <v>277</v>
      </c>
      <c r="B4" s="8" t="s">
        <v>278</v>
      </c>
      <c r="C4" s="8" t="s">
        <v>279</v>
      </c>
      <c r="D4" s="8" t="s">
        <v>48</v>
      </c>
      <c r="E4" s="8" t="s">
        <v>280</v>
      </c>
      <c r="F4" s="8" t="s">
        <v>281</v>
      </c>
    </row>
    <row r="5" customFormat="false" ht="15" hidden="false" customHeight="false" outlineLevel="0" collapsed="false">
      <c r="A5" s="9" t="s">
        <v>282</v>
      </c>
      <c r="B5" s="9" t="s">
        <v>283</v>
      </c>
      <c r="C5" s="9" t="s">
        <v>284</v>
      </c>
      <c r="D5" s="9" t="s">
        <v>285</v>
      </c>
      <c r="E5" s="9" t="s">
        <v>286</v>
      </c>
      <c r="F5" s="9" t="s">
        <v>287</v>
      </c>
    </row>
    <row r="6" customFormat="false" ht="15" hidden="false" customHeight="false" outlineLevel="0" collapsed="false">
      <c r="A6" s="8" t="s">
        <v>288</v>
      </c>
      <c r="B6" s="8" t="s">
        <v>289</v>
      </c>
      <c r="C6" s="8" t="s">
        <v>62</v>
      </c>
      <c r="D6" s="8" t="s">
        <v>55</v>
      </c>
      <c r="E6" s="8" t="s">
        <v>290</v>
      </c>
      <c r="F6" s="8" t="s">
        <v>291</v>
      </c>
    </row>
    <row r="7" customFormat="false" ht="15" hidden="false" customHeight="false" outlineLevel="0" collapsed="false">
      <c r="A7" s="9" t="s">
        <v>292</v>
      </c>
      <c r="B7" s="9" t="s">
        <v>293</v>
      </c>
      <c r="C7" s="9" t="s">
        <v>294</v>
      </c>
      <c r="D7" s="9" t="s">
        <v>72</v>
      </c>
      <c r="E7" s="9" t="s">
        <v>295</v>
      </c>
      <c r="F7" s="9" t="s">
        <v>72</v>
      </c>
    </row>
  </sheetData>
  <autoFilter ref="A1:F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2026-10-25T01:22:20Z</dcterms:created>
  <dc:creator>openpyxl</dc:creator>
  <dc:description/>
  <dc:language>en-US</dc:language>
  <cp:lastModifiedBy/>
  <dcterms:modified xsi:type="dcterms:W3CDTF">2026-10-25T01:22:20Z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